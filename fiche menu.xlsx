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89701b0f721e94/Dokumente/"/>
    </mc:Choice>
  </mc:AlternateContent>
  <xr:revisionPtr revIDLastSave="0" documentId="8_{7075F91A-CB92-794B-BFB3-F01F5F0E65C4}" xr6:coauthVersionLast="47" xr6:coauthVersionMax="47" xr10:uidLastSave="{00000000-0000-0000-0000-000000000000}"/>
  <bookViews>
    <workbookView xWindow="-120" yWindow="-120" windowWidth="29040" windowHeight="15720" xr2:uid="{D203E772-157F-4415-BBD1-9C9C2A5B9DC7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<sst xmlns="http://schemas.openxmlformats.org/spreadsheetml/2006/main" count="75" uniqueCount="75">
  <si>
    <t>Nom du Plat</t>
  </si>
  <si>
    <t>Coût DE REVIENS</t>
  </si>
  <si>
    <t>PRIX DE VENTE</t>
  </si>
  <si>
    <t>COST FOOD %</t>
  </si>
  <si>
    <t>EMINCEE DE POULET</t>
  </si>
  <si>
    <t>SANDWICH FRUIT DE MER</t>
  </si>
  <si>
    <t>SANDWICH THON</t>
  </si>
  <si>
    <t>PIZZA VEGITARIENNE</t>
  </si>
  <si>
    <t>SANDWICH VIANDE HACHEE</t>
  </si>
  <si>
    <t>SANDWICH POULET</t>
  </si>
  <si>
    <t>SANDWICH POULARD</t>
  </si>
  <si>
    <t>SANDWICH POULET CRUNCHY</t>
  </si>
  <si>
    <t>SANDWICH CHEESE STEAK</t>
  </si>
  <si>
    <t>CHEESE BURGER</t>
  </si>
  <si>
    <t>BURGER AVOCADO</t>
  </si>
  <si>
    <t>EGG BURGER</t>
  </si>
  <si>
    <t>BURGER ROYAL</t>
  </si>
  <si>
    <t>CHICKEN BURGER</t>
  </si>
  <si>
    <t>BIG BURGER</t>
  </si>
  <si>
    <t>PANINI CHARCUTERIE</t>
  </si>
  <si>
    <t>PANINI POULET</t>
  </si>
  <si>
    <t>PANINI VIANDE HACHEE</t>
  </si>
  <si>
    <t>PANINI GOURMAND</t>
  </si>
  <si>
    <t>PANINI FRUIT DE MER</t>
  </si>
  <si>
    <t>PANINI SAUMON</t>
  </si>
  <si>
    <t>WRAP POULET</t>
  </si>
  <si>
    <t>WRAP VIANDE HACHEE</t>
  </si>
  <si>
    <t>WRAP GOURMAND</t>
  </si>
  <si>
    <t>EMINCEE DE BŒUF</t>
  </si>
  <si>
    <t>PIZZA THON</t>
  </si>
  <si>
    <t>FILET DE BŒUF</t>
  </si>
  <si>
    <t>PAVE  DE SAUMON</t>
  </si>
  <si>
    <t>ROULADE VIANDE HACHEE</t>
  </si>
  <si>
    <t>ESCALOPE A LA MILANAISE</t>
  </si>
  <si>
    <t>SUPREME DE POULET</t>
  </si>
  <si>
    <t>BALLOTINE DE POULET</t>
  </si>
  <si>
    <t>BROCHETTE DE POULET</t>
  </si>
  <si>
    <t>CERCLE VEGGI</t>
  </si>
  <si>
    <t>SALADE RUSSE</t>
  </si>
  <si>
    <t>SALADE CESAR</t>
  </si>
  <si>
    <t>SALADE QUINOA</t>
  </si>
  <si>
    <t>SALADE TERRE MER</t>
  </si>
  <si>
    <t>SALADE TARTARE SAUMON</t>
  </si>
  <si>
    <t>SALADE BURATTA</t>
  </si>
  <si>
    <t>CROQUETTE 5 FROMAGE</t>
  </si>
  <si>
    <t>CROUSTILLON GAMBAS</t>
  </si>
  <si>
    <t>PIL PIL</t>
  </si>
  <si>
    <t>CHEESECAKE CHOCOLAT</t>
  </si>
  <si>
    <t>CHEESECAKE PISTACHE</t>
  </si>
  <si>
    <t>SAN SEBASTIEN PISTACHE</t>
  </si>
  <si>
    <t>SAN SEBASTIEN NUTELLA</t>
  </si>
  <si>
    <t>CHEESECAKE CITRON</t>
  </si>
  <si>
    <t>CHEESECAKE LOTUS</t>
  </si>
  <si>
    <t>PIZZA MARGARITA</t>
  </si>
  <si>
    <t>PIZZA VIANDE HACHEE</t>
  </si>
  <si>
    <t>PIZZA PEPERONI</t>
  </si>
  <si>
    <t>PIZZA 4 SAISON</t>
  </si>
  <si>
    <t>PIZZA BURATA</t>
  </si>
  <si>
    <t>PIZZA 5 FROMAGE</t>
  </si>
  <si>
    <t>PIZZA REGINA</t>
  </si>
  <si>
    <t>PIZZA POULET CHAMPIGNON</t>
  </si>
  <si>
    <t>FRUITE DE MER</t>
  </si>
  <si>
    <t>PIZZA SAUMON</t>
  </si>
  <si>
    <t>PASTA VEGITARIENNE</t>
  </si>
  <si>
    <t>PASTA CARBONARA</t>
  </si>
  <si>
    <t>PASTA 5 FROMAGE</t>
  </si>
  <si>
    <t>PASTA RIGATONI RICOTA</t>
  </si>
  <si>
    <t>PASTA POULET CHAMPIGNON</t>
  </si>
  <si>
    <t>PASTA FRUIT DE MER</t>
  </si>
  <si>
    <t>PASTA SAUMON</t>
  </si>
  <si>
    <t>PASTA BOLOGNAISE</t>
  </si>
  <si>
    <t>LASAGNE POULET</t>
  </si>
  <si>
    <t>LASAGNE BOLOGNAISE</t>
  </si>
  <si>
    <t>LASAGNE FRUIT DE MER</t>
  </si>
  <si>
    <t xml:space="preserve"> BOULETTE DE POULET AU FROMAGE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</si>
</sst>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F118-9F3D-4DED-85A8-C0926EA1B1BC}">
  <dimension ref="A1:D73"/>
  <sheetViews>
    <sheetView tabSelected="1" workbookViewId="0">
      <selection activeCell="C4" sqref="C4"/>
    </sheetView>
  </sheetViews>
  <sheetFormatPr defaultColWidth="10.76171875" defaultRowHeight="15" x14ac:dyDescent="0.2"/>
  <cols>
    <col min="1" max="1" width="31.74609375" customWidth="1"/>
    <col min="2" max="2" width="24.75" customWidth="1"/>
    <col min="3" max="3" width="17.62109375" customWidth="1"/>
    <col min="4" max="4" width="16.94921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3" spans="1:4" x14ac:dyDescent="0.2">
      <c r="A3" t="s">
        <v>4</v>
      </c>
      <c r="B3">
        <v>31.744999999999994</v>
      </c>
      <c r="C3">
        <v>85</v>
      </c>
      <c r="D3">
        <f t="shared" ref="D3:D28" si="0">(B3/C3)*100</f>
        <v>37.347058823529409</v>
      </c>
    </row>
    <row r="4" spans="1:4" x14ac:dyDescent="0.2">
      <c r="A4" t="s">
        <v>5</v>
      </c>
      <c r="B4">
        <v>24.504999999999999</v>
      </c>
      <c r="C4">
        <v>65</v>
      </c>
      <c r="D4">
        <f t="shared" si="0"/>
        <v>37.700000000000003</v>
      </c>
    </row>
    <row r="5" spans="1:4" x14ac:dyDescent="0.2">
      <c r="A5" t="s">
        <v>6</v>
      </c>
      <c r="B5">
        <v>20.58</v>
      </c>
      <c r="C5">
        <v>48</v>
      </c>
      <c r="D5">
        <f t="shared" si="0"/>
        <v>42.875</v>
      </c>
    </row>
    <row r="6" spans="1:4" x14ac:dyDescent="0.2">
      <c r="A6" t="s">
        <v>7</v>
      </c>
      <c r="B6">
        <v>19.75</v>
      </c>
      <c r="C6">
        <v>62</v>
      </c>
      <c r="D6">
        <f t="shared" si="0"/>
        <v>31.85483870967742</v>
      </c>
    </row>
    <row r="7" spans="1:4" x14ac:dyDescent="0.2">
      <c r="A7" t="s">
        <v>8</v>
      </c>
      <c r="B7">
        <v>20.14</v>
      </c>
      <c r="C7">
        <v>54</v>
      </c>
      <c r="D7">
        <f t="shared" si="0"/>
        <v>37.296296296296298</v>
      </c>
    </row>
    <row r="8" spans="1:4" x14ac:dyDescent="0.2">
      <c r="A8" t="s">
        <v>9</v>
      </c>
      <c r="B8">
        <v>17.940000000000001</v>
      </c>
      <c r="C8">
        <v>48</v>
      </c>
      <c r="D8">
        <f t="shared" si="0"/>
        <v>37.375</v>
      </c>
    </row>
    <row r="9" spans="1:4" x14ac:dyDescent="0.2">
      <c r="A9" t="s">
        <v>10</v>
      </c>
      <c r="B9">
        <v>19.100000000000001</v>
      </c>
      <c r="C9">
        <v>54</v>
      </c>
      <c r="D9">
        <f t="shared" si="0"/>
        <v>35.370370370370374</v>
      </c>
    </row>
    <row r="10" spans="1:4" x14ac:dyDescent="0.2">
      <c r="A10" t="s">
        <v>11</v>
      </c>
      <c r="B10">
        <v>19.690000000000001</v>
      </c>
      <c r="C10">
        <v>58</v>
      </c>
      <c r="D10">
        <f t="shared" si="0"/>
        <v>33.948275862068968</v>
      </c>
    </row>
    <row r="11" spans="1:4" x14ac:dyDescent="0.2">
      <c r="A11" t="s">
        <v>12</v>
      </c>
      <c r="B11">
        <v>26.918000000000003</v>
      </c>
      <c r="C11">
        <v>68</v>
      </c>
      <c r="D11">
        <f t="shared" si="0"/>
        <v>39.585294117647067</v>
      </c>
    </row>
    <row r="12" spans="1:4" x14ac:dyDescent="0.2">
      <c r="A12" t="s">
        <v>13</v>
      </c>
      <c r="B12">
        <v>20.54</v>
      </c>
      <c r="C12">
        <v>54</v>
      </c>
      <c r="D12">
        <f t="shared" si="0"/>
        <v>38.037037037037038</v>
      </c>
    </row>
    <row r="13" spans="1:4" x14ac:dyDescent="0.2">
      <c r="A13" t="s">
        <v>14</v>
      </c>
      <c r="B13">
        <v>21.09</v>
      </c>
      <c r="C13">
        <v>54</v>
      </c>
      <c r="D13">
        <f t="shared" si="0"/>
        <v>39.055555555555557</v>
      </c>
    </row>
    <row r="14" spans="1:4" x14ac:dyDescent="0.2">
      <c r="A14" t="s">
        <v>15</v>
      </c>
      <c r="B14">
        <v>22.59</v>
      </c>
      <c r="C14">
        <v>58</v>
      </c>
      <c r="D14">
        <f t="shared" si="0"/>
        <v>38.948275862068968</v>
      </c>
    </row>
    <row r="15" spans="1:4" x14ac:dyDescent="0.2">
      <c r="A15" t="s">
        <v>16</v>
      </c>
      <c r="B15">
        <v>29.29</v>
      </c>
      <c r="C15">
        <v>68</v>
      </c>
      <c r="D15">
        <f t="shared" si="0"/>
        <v>43.073529411764703</v>
      </c>
    </row>
    <row r="16" spans="1:4" x14ac:dyDescent="0.2">
      <c r="A16" t="s">
        <v>17</v>
      </c>
      <c r="B16">
        <v>18.29</v>
      </c>
      <c r="C16">
        <v>48</v>
      </c>
      <c r="D16">
        <f t="shared" si="0"/>
        <v>38.104166666666664</v>
      </c>
    </row>
    <row r="17" spans="1:4" x14ac:dyDescent="0.2">
      <c r="A17" t="s">
        <v>18</v>
      </c>
      <c r="B17">
        <v>30.54</v>
      </c>
      <c r="C17">
        <v>68</v>
      </c>
      <c r="D17">
        <f>(B17/C17)*100</f>
        <v>44.911764705882348</v>
      </c>
    </row>
    <row r="18" spans="1:4" x14ac:dyDescent="0.2">
      <c r="A18" t="s">
        <v>19</v>
      </c>
      <c r="B18">
        <v>16.850000000000001</v>
      </c>
      <c r="C18">
        <v>40</v>
      </c>
      <c r="D18">
        <f t="shared" si="0"/>
        <v>42.125</v>
      </c>
    </row>
    <row r="19" spans="1:4" x14ac:dyDescent="0.2">
      <c r="A19" t="s">
        <v>20</v>
      </c>
      <c r="B19">
        <v>14.35</v>
      </c>
      <c r="C19">
        <v>44</v>
      </c>
      <c r="D19">
        <f t="shared" si="0"/>
        <v>32.61363636363636</v>
      </c>
    </row>
    <row r="20" spans="1:4" x14ac:dyDescent="0.2">
      <c r="A20" t="s">
        <v>21</v>
      </c>
      <c r="B20">
        <v>20.85</v>
      </c>
      <c r="C20">
        <v>54</v>
      </c>
      <c r="D20">
        <f t="shared" si="0"/>
        <v>38.611111111111114</v>
      </c>
    </row>
    <row r="21" spans="1:4" x14ac:dyDescent="0.2">
      <c r="A21" t="s">
        <v>22</v>
      </c>
      <c r="B21">
        <v>20.85</v>
      </c>
      <c r="C21">
        <v>58</v>
      </c>
      <c r="D21">
        <f t="shared" si="0"/>
        <v>35.948275862068968</v>
      </c>
    </row>
    <row r="22" spans="1:4" x14ac:dyDescent="0.2">
      <c r="A22" t="s">
        <v>23</v>
      </c>
      <c r="B22">
        <v>21.150000000000002</v>
      </c>
      <c r="C22">
        <v>64</v>
      </c>
      <c r="D22">
        <f t="shared" si="0"/>
        <v>33.046875</v>
      </c>
    </row>
    <row r="23" spans="1:4" x14ac:dyDescent="0.2">
      <c r="A23" t="s">
        <v>24</v>
      </c>
      <c r="B23">
        <v>25.35</v>
      </c>
      <c r="C23">
        <v>64</v>
      </c>
      <c r="D23">
        <f t="shared" si="0"/>
        <v>39.609375</v>
      </c>
    </row>
    <row r="24" spans="1:4" x14ac:dyDescent="0.2">
      <c r="A24" t="s">
        <v>25</v>
      </c>
      <c r="B24">
        <v>21</v>
      </c>
      <c r="C24">
        <v>58</v>
      </c>
      <c r="D24">
        <f t="shared" si="0"/>
        <v>36.206896551724135</v>
      </c>
    </row>
    <row r="25" spans="1:4" x14ac:dyDescent="0.2">
      <c r="A25" t="s">
        <v>26</v>
      </c>
      <c r="B25">
        <v>23</v>
      </c>
      <c r="C25">
        <v>62</v>
      </c>
      <c r="D25">
        <f t="shared" si="0"/>
        <v>37.096774193548384</v>
      </c>
    </row>
    <row r="26" spans="1:4" x14ac:dyDescent="0.2">
      <c r="A26" t="s">
        <v>27</v>
      </c>
      <c r="B26">
        <v>22.9</v>
      </c>
      <c r="C26">
        <v>64</v>
      </c>
      <c r="D26">
        <f t="shared" si="0"/>
        <v>35.78125</v>
      </c>
    </row>
    <row r="27" spans="1:4" x14ac:dyDescent="0.2">
      <c r="A27" t="s">
        <v>28</v>
      </c>
      <c r="B27">
        <v>36.726999999999997</v>
      </c>
      <c r="C27">
        <v>112</v>
      </c>
      <c r="D27">
        <f t="shared" si="0"/>
        <v>32.791964285714279</v>
      </c>
    </row>
    <row r="28" spans="1:4" x14ac:dyDescent="0.2">
      <c r="A28" t="s">
        <v>29</v>
      </c>
      <c r="B28">
        <v>23</v>
      </c>
      <c r="C28">
        <v>65</v>
      </c>
      <c r="D28">
        <f>(B28/C28)*100</f>
        <v>35.384615384615387</v>
      </c>
    </row>
    <row r="29" spans="1:4" x14ac:dyDescent="0.2">
      <c r="A29" t="s">
        <v>30</v>
      </c>
      <c r="B29">
        <v>58.574000000000005</v>
      </c>
      <c r="C29">
        <v>135</v>
      </c>
      <c r="D29">
        <f t="shared" ref="D29:D53" si="1">(B29/C29)*100</f>
        <v>43.388148148148154</v>
      </c>
    </row>
    <row r="30" spans="1:4" x14ac:dyDescent="0.2">
      <c r="A30" t="s">
        <v>31</v>
      </c>
      <c r="B30">
        <v>53.775000000000013</v>
      </c>
      <c r="C30">
        <v>148</v>
      </c>
      <c r="D30">
        <f t="shared" si="1"/>
        <v>36.334459459459467</v>
      </c>
    </row>
    <row r="31" spans="1:4" x14ac:dyDescent="0.2">
      <c r="A31" t="s">
        <v>32</v>
      </c>
      <c r="B31">
        <v>45.600999999999999</v>
      </c>
      <c r="C31">
        <v>124</v>
      </c>
      <c r="D31">
        <f t="shared" si="1"/>
        <v>36.774999999999999</v>
      </c>
    </row>
    <row r="32" spans="1:4" x14ac:dyDescent="0.2">
      <c r="A32" t="s">
        <v>33</v>
      </c>
      <c r="B32">
        <v>23.700999999999997</v>
      </c>
      <c r="C32">
        <v>85</v>
      </c>
      <c r="D32">
        <f t="shared" si="1"/>
        <v>27.883529411764702</v>
      </c>
    </row>
    <row r="33" spans="1:4" x14ac:dyDescent="0.2">
      <c r="A33" t="s">
        <v>34</v>
      </c>
      <c r="B33">
        <v>36.51</v>
      </c>
      <c r="C33">
        <v>98</v>
      </c>
      <c r="D33">
        <f t="shared" si="1"/>
        <v>37.255102040816325</v>
      </c>
    </row>
    <row r="34" spans="1:4" x14ac:dyDescent="0.2">
      <c r="A34" t="s">
        <v>35</v>
      </c>
      <c r="B34">
        <v>35.400999999999996</v>
      </c>
      <c r="C34">
        <v>94</v>
      </c>
      <c r="D34">
        <f t="shared" si="1"/>
        <v>37.660638297872332</v>
      </c>
    </row>
    <row r="35" spans="1:4" x14ac:dyDescent="0.2">
      <c r="A35" t="s">
        <v>36</v>
      </c>
      <c r="B35">
        <v>21.134999999999998</v>
      </c>
      <c r="C35">
        <v>84</v>
      </c>
      <c r="D35">
        <f t="shared" si="1"/>
        <v>25.160714285714281</v>
      </c>
    </row>
    <row r="36" spans="1:4" x14ac:dyDescent="0.2">
      <c r="A36" t="s">
        <v>37</v>
      </c>
      <c r="B36">
        <v>13.66</v>
      </c>
      <c r="C36">
        <v>48</v>
      </c>
      <c r="D36">
        <f t="shared" si="1"/>
        <v>28.458333333333336</v>
      </c>
    </row>
    <row r="37" spans="1:4" x14ac:dyDescent="0.2">
      <c r="A37" t="s">
        <v>38</v>
      </c>
      <c r="B37">
        <v>17.435000000000002</v>
      </c>
      <c r="C37">
        <v>54</v>
      </c>
      <c r="D37">
        <f t="shared" si="1"/>
        <v>32.287037037037045</v>
      </c>
    </row>
    <row r="38" spans="1:4" x14ac:dyDescent="0.2">
      <c r="A38" t="s">
        <v>39</v>
      </c>
      <c r="B38">
        <v>14.25</v>
      </c>
      <c r="C38">
        <v>62</v>
      </c>
      <c r="D38">
        <f t="shared" si="1"/>
        <v>22.983870967741936</v>
      </c>
    </row>
    <row r="39" spans="1:4" x14ac:dyDescent="0.2">
      <c r="A39" t="s">
        <v>40</v>
      </c>
      <c r="B39">
        <v>20.115000000000002</v>
      </c>
      <c r="C39">
        <v>68</v>
      </c>
      <c r="D39">
        <f t="shared" si="1"/>
        <v>29.580882352941178</v>
      </c>
    </row>
    <row r="40" spans="1:4" x14ac:dyDescent="0.2">
      <c r="A40" t="s">
        <v>41</v>
      </c>
      <c r="B40">
        <v>18.600999999999996</v>
      </c>
      <c r="C40">
        <v>78</v>
      </c>
      <c r="D40">
        <f t="shared" si="1"/>
        <v>23.847435897435894</v>
      </c>
    </row>
    <row r="41" spans="1:4" x14ac:dyDescent="0.2">
      <c r="A41" t="s">
        <v>42</v>
      </c>
      <c r="B41">
        <v>31.5</v>
      </c>
      <c r="C41">
        <v>88</v>
      </c>
      <c r="D41">
        <f>(B41/C41)*100</f>
        <v>35.795454545454547</v>
      </c>
    </row>
    <row r="42" spans="1:4" x14ac:dyDescent="0.2">
      <c r="A42" t="s">
        <v>43</v>
      </c>
      <c r="B42">
        <v>41.81</v>
      </c>
      <c r="C42">
        <v>98</v>
      </c>
      <c r="D42">
        <f t="shared" si="1"/>
        <v>42.663265306122447</v>
      </c>
    </row>
    <row r="43" spans="1:4" x14ac:dyDescent="0.2">
      <c r="A43" t="s">
        <v>44</v>
      </c>
      <c r="B43">
        <v>13.65</v>
      </c>
      <c r="C43">
        <v>45</v>
      </c>
      <c r="D43">
        <f t="shared" si="1"/>
        <v>30.333333333333336</v>
      </c>
    </row>
    <row r="44" spans="1:4" x14ac:dyDescent="0.2">
      <c r="A44" t="s">
        <v>45</v>
      </c>
      <c r="B44">
        <v>20.25</v>
      </c>
      <c r="C44">
        <v>68</v>
      </c>
      <c r="D44">
        <f t="shared" si="1"/>
        <v>29.77941176470588</v>
      </c>
    </row>
    <row r="45" spans="1:4" x14ac:dyDescent="0.2">
      <c r="A45" t="s">
        <v>46</v>
      </c>
      <c r="B45">
        <v>20.79</v>
      </c>
      <c r="C45">
        <v>68</v>
      </c>
      <c r="D45">
        <f t="shared" si="1"/>
        <v>30.573529411764707</v>
      </c>
    </row>
    <row r="46" spans="1:4" x14ac:dyDescent="0.2">
      <c r="A46" t="s">
        <v>47</v>
      </c>
      <c r="B46">
        <v>121.5</v>
      </c>
      <c r="C46">
        <v>360</v>
      </c>
      <c r="D46">
        <f t="shared" si="1"/>
        <v>33.75</v>
      </c>
    </row>
    <row r="47" spans="1:4" x14ac:dyDescent="0.2">
      <c r="A47" t="s">
        <v>48</v>
      </c>
      <c r="B47">
        <v>123.67</v>
      </c>
      <c r="C47">
        <v>360</v>
      </c>
      <c r="D47">
        <f t="shared" si="1"/>
        <v>34.352777777777774</v>
      </c>
    </row>
    <row r="48" spans="1:4" x14ac:dyDescent="0.2">
      <c r="A48" t="s">
        <v>49</v>
      </c>
      <c r="B48">
        <v>105.595</v>
      </c>
      <c r="C48">
        <v>360</v>
      </c>
      <c r="D48">
        <f t="shared" si="1"/>
        <v>29.331944444444446</v>
      </c>
    </row>
    <row r="49" spans="1:4" x14ac:dyDescent="0.2">
      <c r="A49" t="s">
        <v>50</v>
      </c>
      <c r="B49">
        <v>95.094999999999999</v>
      </c>
      <c r="C49">
        <v>320</v>
      </c>
      <c r="D49">
        <f t="shared" si="1"/>
        <v>29.717187499999998</v>
      </c>
    </row>
    <row r="50" spans="1:4" x14ac:dyDescent="0.2">
      <c r="A50" t="s">
        <v>51</v>
      </c>
      <c r="B50">
        <v>63.45</v>
      </c>
      <c r="C50">
        <v>320</v>
      </c>
      <c r="D50">
        <f t="shared" si="1"/>
        <v>19.828125000000004</v>
      </c>
    </row>
    <row r="51" spans="1:4" x14ac:dyDescent="0.2">
      <c r="A51" t="s">
        <v>52</v>
      </c>
      <c r="B51">
        <v>61.75</v>
      </c>
      <c r="C51">
        <v>320</v>
      </c>
      <c r="D51">
        <f t="shared" si="1"/>
        <v>19.296875</v>
      </c>
    </row>
    <row r="52" spans="1:4" x14ac:dyDescent="0.2">
      <c r="A52" t="s">
        <v>53</v>
      </c>
      <c r="B52">
        <v>14.77</v>
      </c>
      <c r="C52">
        <v>52</v>
      </c>
      <c r="D52">
        <f t="shared" si="1"/>
        <v>28.403846153846153</v>
      </c>
    </row>
    <row r="53" spans="1:4" x14ac:dyDescent="0.2">
      <c r="A53" t="s">
        <v>54</v>
      </c>
      <c r="B53">
        <v>24.25</v>
      </c>
      <c r="C53">
        <v>78</v>
      </c>
      <c r="D53">
        <f t="shared" si="1"/>
        <v>31.089743589743591</v>
      </c>
    </row>
    <row r="54" spans="1:4" x14ac:dyDescent="0.2">
      <c r="A54" t="s">
        <v>55</v>
      </c>
      <c r="B54">
        <v>18.73</v>
      </c>
      <c r="C54">
        <v>74</v>
      </c>
      <c r="D54">
        <f>(B54/C54)*100</f>
        <v>25.310810810810814</v>
      </c>
    </row>
    <row r="55" spans="1:4" x14ac:dyDescent="0.2">
      <c r="A55" t="s">
        <v>56</v>
      </c>
      <c r="B55">
        <v>28.950000000000003</v>
      </c>
      <c r="C55">
        <v>88</v>
      </c>
      <c r="D55">
        <f t="shared" ref="D55:D72" si="2">(B55/C55)*100</f>
        <v>32.89772727272728</v>
      </c>
    </row>
    <row r="56" spans="1:4" x14ac:dyDescent="0.2">
      <c r="A56" t="s">
        <v>57</v>
      </c>
      <c r="B56">
        <v>52.05</v>
      </c>
      <c r="C56">
        <v>115</v>
      </c>
      <c r="D56">
        <f t="shared" si="2"/>
        <v>45.260869565217391</v>
      </c>
    </row>
    <row r="57" spans="1:4" x14ac:dyDescent="0.2">
      <c r="A57" t="s">
        <v>58</v>
      </c>
      <c r="B57">
        <v>33.199999999999996</v>
      </c>
      <c r="C57">
        <v>82</v>
      </c>
      <c r="D57">
        <f t="shared" si="2"/>
        <v>40.487804878048777</v>
      </c>
    </row>
    <row r="58" spans="1:4" x14ac:dyDescent="0.2">
      <c r="A58" t="s">
        <v>59</v>
      </c>
      <c r="B58">
        <v>24.85</v>
      </c>
      <c r="C58">
        <v>68</v>
      </c>
      <c r="D58">
        <f t="shared" si="2"/>
        <v>36.544117647058826</v>
      </c>
    </row>
    <row r="59" spans="1:4" x14ac:dyDescent="0.2">
      <c r="A59" t="s">
        <v>60</v>
      </c>
      <c r="B59">
        <v>25.95</v>
      </c>
      <c r="C59">
        <v>78</v>
      </c>
      <c r="D59">
        <f t="shared" si="2"/>
        <v>33.269230769230766</v>
      </c>
    </row>
    <row r="60" spans="1:4" x14ac:dyDescent="0.2">
      <c r="A60" t="s">
        <v>61</v>
      </c>
      <c r="B60">
        <v>29.520000000000003</v>
      </c>
      <c r="C60">
        <v>88</v>
      </c>
      <c r="D60">
        <f t="shared" si="2"/>
        <v>33.545454545454554</v>
      </c>
    </row>
    <row r="61" spans="1:4" x14ac:dyDescent="0.2">
      <c r="A61" t="s">
        <v>62</v>
      </c>
      <c r="B61">
        <v>31.05</v>
      </c>
      <c r="C61">
        <v>94</v>
      </c>
      <c r="D61">
        <f t="shared" si="2"/>
        <v>33.031914893617021</v>
      </c>
    </row>
    <row r="62" spans="1:4" x14ac:dyDescent="0.2">
      <c r="A62" t="s">
        <v>63</v>
      </c>
      <c r="B62">
        <v>18.2</v>
      </c>
      <c r="C62">
        <v>58</v>
      </c>
      <c r="D62">
        <f t="shared" si="2"/>
        <v>31.379310344827584</v>
      </c>
    </row>
    <row r="63" spans="1:4" x14ac:dyDescent="0.2">
      <c r="A63" t="s">
        <v>64</v>
      </c>
      <c r="B63">
        <v>18.440000000000001</v>
      </c>
      <c r="C63">
        <v>65</v>
      </c>
      <c r="D63">
        <f t="shared" si="2"/>
        <v>28.369230769230768</v>
      </c>
    </row>
    <row r="64" spans="1:4" x14ac:dyDescent="0.2">
      <c r="A64" t="s">
        <v>65</v>
      </c>
      <c r="B64">
        <v>25.5</v>
      </c>
      <c r="C64">
        <v>78</v>
      </c>
      <c r="D64">
        <f t="shared" si="2"/>
        <v>32.692307692307693</v>
      </c>
    </row>
    <row r="65" spans="1:4" x14ac:dyDescent="0.2">
      <c r="A65" t="s">
        <v>66</v>
      </c>
      <c r="B65">
        <v>19.920000000000002</v>
      </c>
      <c r="C65">
        <v>68</v>
      </c>
      <c r="D65">
        <f t="shared" si="2"/>
        <v>29.294117647058826</v>
      </c>
    </row>
    <row r="66" spans="1:4" x14ac:dyDescent="0.2">
      <c r="A66" t="s">
        <v>67</v>
      </c>
      <c r="B66">
        <v>23.82</v>
      </c>
      <c r="C66">
        <v>76</v>
      </c>
      <c r="D66">
        <f t="shared" si="2"/>
        <v>31.342105263157894</v>
      </c>
    </row>
    <row r="67" spans="1:4" x14ac:dyDescent="0.2">
      <c r="A67" t="s">
        <v>68</v>
      </c>
      <c r="B67">
        <v>26.83</v>
      </c>
      <c r="C67">
        <v>88</v>
      </c>
      <c r="D67">
        <f t="shared" si="2"/>
        <v>30.488636363636363</v>
      </c>
    </row>
    <row r="68" spans="1:4" x14ac:dyDescent="0.2">
      <c r="A68" t="s">
        <v>69</v>
      </c>
      <c r="B68">
        <v>30.32</v>
      </c>
      <c r="C68">
        <v>98</v>
      </c>
      <c r="D68">
        <f t="shared" si="2"/>
        <v>30.938775510204081</v>
      </c>
    </row>
    <row r="69" spans="1:4" x14ac:dyDescent="0.2">
      <c r="A69" t="s">
        <v>70</v>
      </c>
      <c r="B69">
        <v>25.1</v>
      </c>
      <c r="C69">
        <v>78</v>
      </c>
      <c r="D69">
        <f t="shared" si="2"/>
        <v>32.179487179487182</v>
      </c>
    </row>
    <row r="70" spans="1:4" x14ac:dyDescent="0.2">
      <c r="A70" t="s">
        <v>71</v>
      </c>
      <c r="B70">
        <v>20.7</v>
      </c>
      <c r="C70">
        <v>58</v>
      </c>
      <c r="D70">
        <f t="shared" si="2"/>
        <v>35.689655172413794</v>
      </c>
    </row>
    <row r="71" spans="1:4" x14ac:dyDescent="0.2">
      <c r="A71" t="s">
        <v>72</v>
      </c>
      <c r="B71">
        <v>26</v>
      </c>
      <c r="C71">
        <v>72</v>
      </c>
      <c r="D71">
        <f t="shared" si="2"/>
        <v>36.111111111111107</v>
      </c>
    </row>
    <row r="72" spans="1:4" x14ac:dyDescent="0.2">
      <c r="A72" t="s">
        <v>73</v>
      </c>
      <c r="B72">
        <v>27</v>
      </c>
      <c r="C72">
        <v>78</v>
      </c>
      <c r="D72">
        <f t="shared" si="2"/>
        <v>34.615384615384613</v>
      </c>
    </row>
    <row r="73" spans="1:4" x14ac:dyDescent="0.2">
      <c r="A73" t="s">
        <v>74</v>
      </c>
      <c r="B73">
        <v>17</v>
      </c>
      <c r="C73">
        <v>48</v>
      </c>
      <c r="D73">
        <f>(B73/C73)*100</f>
        <v>35.416666666666671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 corner</dc:creator>
  <cp:lastModifiedBy>grey corner</cp:lastModifiedBy>
  <dcterms:created xsi:type="dcterms:W3CDTF">2026-02-11T21:55:26Z</dcterms:created>
  <dcterms:modified xsi:type="dcterms:W3CDTF">2026-02-11T21:57:43Z</dcterms:modified>
</cp:coreProperties>
</file>